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5"/>
    <sheet state="visible" name="Mestre" sheetId="2" r:id="rId6"/>
    <sheet state="visible" name="Subproblema" sheetId="3" r:id="rId7"/>
    <sheet state="visible" name="Corte" sheetId="4" r:id="rId8"/>
  </sheets>
  <definedNames/>
  <calcPr/>
</workbook>
</file>

<file path=xl/sharedStrings.xml><?xml version="1.0" encoding="utf-8"?>
<sst xmlns="http://schemas.openxmlformats.org/spreadsheetml/2006/main" count="91" uniqueCount="63">
  <si>
    <t>Produtos</t>
  </si>
  <si>
    <t>Conjunto</t>
  </si>
  <si>
    <t>Variáveis</t>
  </si>
  <si>
    <t>Q(x*r)</t>
  </si>
  <si>
    <t>Valor ótimo do Sub para o r-ésimo x</t>
  </si>
  <si>
    <t>Lotes são gerados</t>
  </si>
  <si>
    <t>Máquina</t>
  </si>
  <si>
    <t>L</t>
  </si>
  <si>
    <t>Capacidade (kg)</t>
  </si>
  <si>
    <t>Limite inferior do Q</t>
  </si>
  <si>
    <t>Família</t>
  </si>
  <si>
    <t>N = {1,2,3}</t>
  </si>
  <si>
    <t>Sr</t>
  </si>
  <si>
    <t>r-ésimo conjunto de x* = 1 (U)</t>
  </si>
  <si>
    <t>U(x*)</t>
  </si>
  <si>
    <t>Maquinas</t>
  </si>
  <si>
    <t>x{n}</t>
  </si>
  <si>
    <t>y{nj}</t>
  </si>
  <si>
    <t>Lotes utilizados U = {1,2}</t>
  </si>
  <si>
    <t>O que acontece aqui?</t>
  </si>
  <si>
    <t>Se lote n vai ser utilizado</t>
  </si>
  <si>
    <t>Se lote n vai pra máquinha j</t>
  </si>
  <si>
    <t>Familias</t>
  </si>
  <si>
    <t>|
V</t>
  </si>
  <si>
    <t>A e B</t>
  </si>
  <si>
    <t>Cmax</t>
  </si>
  <si>
    <t>Makespan do sistema</t>
  </si>
  <si>
    <t>Produto</t>
  </si>
  <si>
    <t>Familia</t>
  </si>
  <si>
    <t>r</t>
  </si>
  <si>
    <t>Peso (kg)</t>
  </si>
  <si>
    <t>Alguns lotes são escolhidos</t>
  </si>
  <si>
    <t>Função Objetivo</t>
  </si>
  <si>
    <t>x = {1,1,0}</t>
  </si>
  <si>
    <t>A</t>
  </si>
  <si>
    <t>min Cmax</t>
  </si>
  <si>
    <t>y{uj}</t>
  </si>
  <si>
    <t>Sempre que o mestre tentar escolher uma nova configuração de X, ele vai inserir os valores na restrição do corte, o que resulta em um valor para Z.
Como o objetivo do problema é minimizar Z, o problema vai testar várias combinações de X, até identificar o que gera o menor valor, que então é enviada novamente ao Subproblema
Quando o Mestre retorna a mesma combinação de X, indica que essa é a configuração ótima, e que o problema alcançou o fim.</t>
  </si>
  <si>
    <t>Se lote u vai pra máquinha j</t>
  </si>
  <si>
    <t>min Z (theta)</t>
  </si>
  <si>
    <t>Lote</t>
  </si>
  <si>
    <t>Peso</t>
  </si>
  <si>
    <t>Tempo</t>
  </si>
  <si>
    <t>B</t>
  </si>
  <si>
    <t>Z não é restrito</t>
  </si>
  <si>
    <t>1 e 2</t>
  </si>
  <si>
    <t>Z = 0</t>
  </si>
  <si>
    <t>Restrições</t>
  </si>
  <si>
    <t>Todo produto deve estar em um unico lote e precisa ser processado em uma máquina</t>
  </si>
  <si>
    <t>3 e 4</t>
  </si>
  <si>
    <t>Todo produto deve ser processado 1 vez</t>
  </si>
  <si>
    <t>Um lote não pode ser processado por uma máquina imcompatível com a família</t>
  </si>
  <si>
    <t>A soma dos tempos dos lotes deve ser menor ou igual ao makespan</t>
  </si>
  <si>
    <t>Q(x*) = min Cmax</t>
  </si>
  <si>
    <t>Q(x*1)</t>
  </si>
  <si>
    <t>O peso de cada lote deve ser menor que a capacidade da máquina</t>
  </si>
  <si>
    <t>Todo lote precisa ser processado em uma máquina</t>
  </si>
  <si>
    <t>Combinations</t>
  </si>
  <si>
    <t>Gera --&gt;</t>
  </si>
  <si>
    <t>Restrições do Mestre</t>
  </si>
  <si>
    <t>Z &gt;= (20 - 10)(x1+x2-x3)-(20-10)(2-1)+10</t>
  </si>
  <si>
    <t>1, 2, 3 e 4</t>
  </si>
  <si>
    <t>Z &gt;= 10x1 + 10x2 - 10x3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</si>
</sst>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2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1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left"/>
    </xf>
    <xf borderId="8" fillId="0" fontId="2" numFmtId="0" xfId="0" applyBorder="1" applyFont="1"/>
    <xf borderId="9" fillId="0" fontId="2" numFmtId="0" xfId="0" applyBorder="1" applyFont="1"/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readingOrder="0"/>
    </xf>
    <xf borderId="2" fillId="3" fontId="3" numFmtId="0" xfId="0" applyAlignment="1" applyBorder="1" applyFill="1" applyFont="1">
      <alignment readingOrder="0"/>
    </xf>
    <xf borderId="10" fillId="0" fontId="2" numFmtId="0" xfId="0" applyBorder="1" applyFont="1"/>
    <xf borderId="1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419100</xdr:colOff>
      <xdr:row>5</xdr:row>
      <xdr:rowOff>104775</xdr:rowOff>
    </xdr:from>
    <xdr:ext cx="5781675" cy="2000250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523875</xdr:colOff>
      <xdr:row>11</xdr:row>
      <xdr:rowOff>180975</xdr:rowOff>
    </xdr:from>
    <xdr:ext cx="3152775" cy="62865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20</xdr:row>
      <xdr:rowOff>133350</xdr:rowOff>
    </xdr:from>
    <xdr:ext cx="4152900" cy="15335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152400</xdr:rowOff>
    </xdr:from>
    <xdr:ext cx="5391150" cy="82867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1.88"/>
  </cols>
  <sheetData>
    <row r="1">
      <c r="A1" s="1"/>
      <c r="B1" s="1"/>
    </row>
    <row r="2">
      <c r="A2" s="2" t="s">
        <v>0</v>
      </c>
      <c r="B2" s="3">
        <v>4.0</v>
      </c>
      <c r="G2" s="4" t="s">
        <v>2</v>
      </c>
      <c r="H2" s="6"/>
    </row>
    <row r="3">
      <c r="A3" s="2" t="s">
        <v>15</v>
      </c>
      <c r="B3" s="3">
        <v>2.0</v>
      </c>
      <c r="G3" s="9" t="s">
        <v>17</v>
      </c>
      <c r="H3" s="3" t="s">
        <v>21</v>
      </c>
    </row>
    <row r="4">
      <c r="A4" s="2" t="s">
        <v>22</v>
      </c>
      <c r="B4" s="3">
        <v>2.0</v>
      </c>
      <c r="G4" s="9" t="s">
        <v>25</v>
      </c>
      <c r="H4" s="3" t="s">
        <v>26</v>
      </c>
    </row>
    <row r="7">
      <c r="A7" s="5" t="s">
        <v>27</v>
      </c>
      <c r="B7" s="5" t="s">
        <v>28</v>
      </c>
      <c r="C7" s="5" t="s">
        <v>30</v>
      </c>
      <c r="G7" s="4" t="s">
        <v>32</v>
      </c>
      <c r="H7" s="6"/>
    </row>
    <row r="8">
      <c r="A8" s="9">
        <v>1.0</v>
      </c>
      <c r="B8" s="9" t="s">
        <v>34</v>
      </c>
      <c r="C8" s="9">
        <v>5.0</v>
      </c>
      <c r="G8" s="12" t="s">
        <v>35</v>
      </c>
      <c r="H8" s="6"/>
    </row>
    <row r="9">
      <c r="A9" s="9">
        <v>2.0</v>
      </c>
      <c r="B9" s="9" t="s">
        <v>34</v>
      </c>
      <c r="C9" s="9">
        <v>6.0</v>
      </c>
    </row>
    <row r="10">
      <c r="A10" s="9">
        <v>3.0</v>
      </c>
      <c r="B10" s="9" t="s">
        <v>43</v>
      </c>
      <c r="C10" s="9">
        <v>7.0</v>
      </c>
    </row>
    <row r="11">
      <c r="A11" s="9">
        <v>4.0</v>
      </c>
      <c r="B11" s="9" t="s">
        <v>43</v>
      </c>
      <c r="C11" s="9">
        <v>4.0</v>
      </c>
      <c r="G11" s="4" t="s">
        <v>47</v>
      </c>
      <c r="H11" s="6"/>
    </row>
    <row r="12">
      <c r="G12" s="12" t="s">
        <v>48</v>
      </c>
      <c r="H12" s="6"/>
    </row>
    <row r="13">
      <c r="G13" s="12" t="s">
        <v>51</v>
      </c>
      <c r="H13" s="6"/>
    </row>
    <row r="14">
      <c r="A14" s="5" t="s">
        <v>6</v>
      </c>
      <c r="B14" s="5" t="s">
        <v>8</v>
      </c>
      <c r="C14" s="5" t="s">
        <v>10</v>
      </c>
      <c r="G14" s="12" t="s">
        <v>52</v>
      </c>
      <c r="H14" s="6"/>
    </row>
    <row r="15">
      <c r="A15" s="9">
        <v>1.0</v>
      </c>
      <c r="B15" s="9">
        <v>15.0</v>
      </c>
      <c r="C15" s="9" t="s">
        <v>24</v>
      </c>
      <c r="E15" s="1">
        <v>20.0</v>
      </c>
      <c r="F15" s="17">
        <f>E17/E15</f>
        <v>1.1</v>
      </c>
      <c r="G15" s="12" t="s">
        <v>55</v>
      </c>
      <c r="H15" s="6"/>
    </row>
    <row r="16">
      <c r="A16" s="9">
        <v>2.0</v>
      </c>
      <c r="B16" s="9">
        <v>20.0</v>
      </c>
      <c r="C16" s="9" t="s">
        <v>24</v>
      </c>
      <c r="E16" s="1">
        <v>20.0</v>
      </c>
      <c r="F16" s="17">
        <f>E17/E16</f>
        <v>1.1</v>
      </c>
    </row>
    <row r="17">
      <c r="E17" s="17">
        <f>sum(C8:C11)</f>
        <v>22</v>
      </c>
    </row>
    <row r="19">
      <c r="A19" s="4" t="s">
        <v>57</v>
      </c>
      <c r="B19" s="6"/>
      <c r="C19" s="10" t="s">
        <v>58</v>
      </c>
      <c r="D19" s="4" t="str">
        <f> "Lotes Válidos (N) = {" &amp;A22 &amp;","&amp; A23&amp; "," &amp;A24&amp; "}"</f>
        <v>Lotes Válidos (N) = {1,2,3}</v>
      </c>
      <c r="E19" s="6"/>
    </row>
    <row r="21">
      <c r="A21" s="5" t="s">
        <v>40</v>
      </c>
      <c r="B21" s="5" t="s">
        <v>0</v>
      </c>
      <c r="C21" s="5" t="s">
        <v>41</v>
      </c>
      <c r="D21" s="5" t="s">
        <v>42</v>
      </c>
    </row>
    <row r="22">
      <c r="A22" s="9">
        <v>1.0</v>
      </c>
      <c r="B22" s="9" t="s">
        <v>45</v>
      </c>
      <c r="C22" s="9">
        <v>11.0</v>
      </c>
      <c r="D22" s="9">
        <v>10.0</v>
      </c>
    </row>
    <row r="23">
      <c r="A23" s="9">
        <v>2.0</v>
      </c>
      <c r="B23" s="9" t="s">
        <v>49</v>
      </c>
      <c r="C23" s="9">
        <v>11.0</v>
      </c>
      <c r="D23" s="9">
        <v>20.0</v>
      </c>
    </row>
    <row r="24">
      <c r="A24" s="9">
        <v>3.0</v>
      </c>
      <c r="B24" s="9" t="s">
        <v>61</v>
      </c>
      <c r="C24" s="9">
        <v>22.0</v>
      </c>
      <c r="D24" s="9">
        <v>30.0</v>
      </c>
    </row>
  </sheetData>
  <mergeCells count="10">
    <mergeCell ref="G15:H15"/>
    <mergeCell ref="A19:B19"/>
    <mergeCell ref="D19:E19"/>
    <mergeCell ref="G2:H2"/>
    <mergeCell ref="G7:H7"/>
    <mergeCell ref="G8:H8"/>
    <mergeCell ref="G11:H11"/>
    <mergeCell ref="G12:H12"/>
    <mergeCell ref="G13:H13"/>
    <mergeCell ref="G14:H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5"/>
    <col customWidth="1" min="5" max="5" width="22.5"/>
  </cols>
  <sheetData>
    <row r="2">
      <c r="B2" s="4" t="s">
        <v>2</v>
      </c>
      <c r="C2" s="6"/>
      <c r="E2" s="7" t="s">
        <v>5</v>
      </c>
      <c r="F2" s="8" t="s">
        <v>11</v>
      </c>
    </row>
    <row r="3">
      <c r="B3" s="9" t="s">
        <v>16</v>
      </c>
      <c r="C3" s="3" t="s">
        <v>20</v>
      </c>
      <c r="E3" s="10" t="s">
        <v>23</v>
      </c>
    </row>
    <row r="5">
      <c r="E5" s="7" t="s">
        <v>31</v>
      </c>
      <c r="F5" s="8" t="s">
        <v>33</v>
      </c>
    </row>
    <row r="6">
      <c r="B6" s="4" t="s">
        <v>32</v>
      </c>
      <c r="C6" s="6"/>
      <c r="E6" s="10" t="s">
        <v>23</v>
      </c>
    </row>
    <row r="7">
      <c r="B7" s="12" t="s">
        <v>39</v>
      </c>
      <c r="C7" s="6"/>
    </row>
    <row r="8">
      <c r="E8" s="7" t="s">
        <v>44</v>
      </c>
      <c r="F8" s="8" t="s">
        <v>46</v>
      </c>
    </row>
    <row r="10">
      <c r="B10" s="4" t="s">
        <v>47</v>
      </c>
      <c r="C10" s="6"/>
    </row>
    <row r="11">
      <c r="B11" s="12" t="s">
        <v>50</v>
      </c>
      <c r="C11" s="6"/>
    </row>
  </sheetData>
  <mergeCells count="7">
    <mergeCell ref="B2:C2"/>
    <mergeCell ref="E3:F4"/>
    <mergeCell ref="B6:C6"/>
    <mergeCell ref="E6:F7"/>
    <mergeCell ref="B7:C7"/>
    <mergeCell ref="B10:C10"/>
    <mergeCell ref="B11:C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5"/>
  </cols>
  <sheetData>
    <row r="2">
      <c r="B2" s="4" t="s">
        <v>1</v>
      </c>
      <c r="C2" s="6"/>
      <c r="E2" s="5" t="s">
        <v>6</v>
      </c>
      <c r="F2" s="5" t="s">
        <v>8</v>
      </c>
      <c r="G2" s="5" t="s">
        <v>10</v>
      </c>
    </row>
    <row r="3">
      <c r="B3" s="9" t="s">
        <v>14</v>
      </c>
      <c r="C3" s="3" t="s">
        <v>18</v>
      </c>
      <c r="E3" s="9">
        <v>1.0</v>
      </c>
      <c r="F3" s="9">
        <v>15.0</v>
      </c>
      <c r="G3" s="9" t="s">
        <v>24</v>
      </c>
    </row>
    <row r="4">
      <c r="E4" s="9">
        <v>2.0</v>
      </c>
      <c r="F4" s="9">
        <v>20.0</v>
      </c>
      <c r="G4" s="9" t="s">
        <v>24</v>
      </c>
    </row>
    <row r="6">
      <c r="B6" s="4" t="s">
        <v>2</v>
      </c>
      <c r="C6" s="6"/>
    </row>
    <row r="7">
      <c r="B7" s="9" t="s">
        <v>36</v>
      </c>
      <c r="C7" s="3" t="s">
        <v>38</v>
      </c>
      <c r="E7" s="5" t="s">
        <v>40</v>
      </c>
      <c r="F7" s="5" t="s">
        <v>0</v>
      </c>
      <c r="G7" s="5" t="s">
        <v>41</v>
      </c>
      <c r="H7" s="5" t="s">
        <v>42</v>
      </c>
    </row>
    <row r="8">
      <c r="B8" s="9" t="s">
        <v>25</v>
      </c>
      <c r="C8" s="3" t="s">
        <v>26</v>
      </c>
      <c r="E8" s="9">
        <v>1.0</v>
      </c>
      <c r="F8" s="9" t="s">
        <v>45</v>
      </c>
      <c r="G8" s="9">
        <v>11.0</v>
      </c>
      <c r="H8" s="9">
        <v>10.0</v>
      </c>
    </row>
    <row r="9">
      <c r="E9" s="15">
        <v>2.0</v>
      </c>
      <c r="F9" s="15" t="s">
        <v>49</v>
      </c>
      <c r="G9" s="15">
        <v>11.0</v>
      </c>
      <c r="H9" s="15">
        <v>20.0</v>
      </c>
    </row>
    <row r="10">
      <c r="E10" s="16"/>
      <c r="F10" s="16"/>
      <c r="G10" s="16"/>
      <c r="H10" s="16"/>
    </row>
    <row r="11">
      <c r="B11" s="4" t="s">
        <v>32</v>
      </c>
      <c r="C11" s="6"/>
    </row>
    <row r="12">
      <c r="B12" s="12" t="s">
        <v>53</v>
      </c>
      <c r="C12" s="6"/>
      <c r="E12" s="5" t="s">
        <v>54</v>
      </c>
      <c r="F12" s="9">
        <v>20.0</v>
      </c>
    </row>
    <row r="15">
      <c r="B15" s="4" t="s">
        <v>47</v>
      </c>
      <c r="C15" s="6"/>
    </row>
    <row r="16">
      <c r="B16" s="12" t="s">
        <v>56</v>
      </c>
      <c r="C16" s="6"/>
    </row>
    <row r="17">
      <c r="B17" s="12" t="s">
        <v>51</v>
      </c>
      <c r="C17" s="6"/>
    </row>
    <row r="18">
      <c r="B18" s="12" t="s">
        <v>52</v>
      </c>
      <c r="C18" s="6"/>
    </row>
    <row r="19">
      <c r="B19" s="12" t="s">
        <v>55</v>
      </c>
      <c r="C19" s="6"/>
    </row>
  </sheetData>
  <mergeCells count="9">
    <mergeCell ref="B18:C18"/>
    <mergeCell ref="B19:C19"/>
    <mergeCell ref="B2:C2"/>
    <mergeCell ref="B6:C6"/>
    <mergeCell ref="B11:C11"/>
    <mergeCell ref="B12:C12"/>
    <mergeCell ref="B15:C15"/>
    <mergeCell ref="B16:C16"/>
    <mergeCell ref="B17:C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9.75"/>
    <col customWidth="1" min="6" max="6" width="31.25"/>
    <col customWidth="1" min="9" max="9" width="34.75"/>
  </cols>
  <sheetData>
    <row r="2">
      <c r="A2" s="5" t="s">
        <v>3</v>
      </c>
      <c r="B2" s="3" t="s">
        <v>4</v>
      </c>
    </row>
    <row r="3">
      <c r="A3" s="5" t="s">
        <v>7</v>
      </c>
      <c r="B3" s="3" t="s">
        <v>9</v>
      </c>
    </row>
    <row r="4">
      <c r="A4" s="5" t="s">
        <v>12</v>
      </c>
      <c r="B4" s="3" t="s">
        <v>13</v>
      </c>
    </row>
    <row r="13">
      <c r="H13" s="4" t="s">
        <v>19</v>
      </c>
      <c r="I13" s="6"/>
    </row>
    <row r="14">
      <c r="A14" s="5" t="s">
        <v>29</v>
      </c>
      <c r="B14" s="11">
        <v>2.0</v>
      </c>
      <c r="H14" s="13" t="s">
        <v>37</v>
      </c>
      <c r="I14" s="14"/>
    </row>
    <row r="15">
      <c r="A15" s="5" t="str">
        <f>"x*" &amp;B14</f>
        <v>x*2</v>
      </c>
      <c r="B15" s="18" t="str">
        <f>Mestre!F5</f>
        <v>x = {1,1,0}</v>
      </c>
      <c r="H15" s="19"/>
      <c r="I15" s="20"/>
    </row>
    <row r="16">
      <c r="A16" s="5" t="str">
        <f>"Q(x*" &amp; B14 &amp; ")"</f>
        <v>Q(x*2)</v>
      </c>
      <c r="B16" s="18">
        <f>Subproblema!F12</f>
        <v>20</v>
      </c>
      <c r="E16" s="4" t="s">
        <v>59</v>
      </c>
      <c r="F16" s="6"/>
      <c r="H16" s="19"/>
      <c r="I16" s="20"/>
    </row>
    <row r="17">
      <c r="E17" s="12" t="s">
        <v>50</v>
      </c>
      <c r="F17" s="6"/>
      <c r="H17" s="19"/>
      <c r="I17" s="20"/>
    </row>
    <row r="18">
      <c r="E18" s="21" t="str">
        <f>A20</f>
        <v>Z &gt;= 10x1 + 10x2 - 10x3</v>
      </c>
      <c r="F18" s="6"/>
      <c r="H18" s="19"/>
      <c r="I18" s="20"/>
    </row>
    <row r="19">
      <c r="A19" s="22" t="s">
        <v>60</v>
      </c>
      <c r="B19" s="6"/>
      <c r="H19" s="19"/>
      <c r="I19" s="20"/>
    </row>
    <row r="20">
      <c r="A20" s="23" t="s">
        <v>62</v>
      </c>
      <c r="B20" s="6"/>
      <c r="H20" s="19"/>
      <c r="I20" s="20"/>
    </row>
    <row r="21">
      <c r="H21" s="19"/>
      <c r="I21" s="20"/>
    </row>
    <row r="22">
      <c r="H22" s="19"/>
      <c r="I22" s="20"/>
    </row>
    <row r="23">
      <c r="H23" s="19"/>
      <c r="I23" s="20"/>
    </row>
    <row r="24">
      <c r="H24" s="19"/>
      <c r="I24" s="20"/>
    </row>
    <row r="25">
      <c r="H25" s="19"/>
      <c r="I25" s="20"/>
    </row>
    <row r="26">
      <c r="H26" s="19"/>
      <c r="I26" s="20"/>
    </row>
    <row r="27">
      <c r="H27" s="24"/>
      <c r="I27" s="25"/>
    </row>
  </sheetData>
  <mergeCells count="7">
    <mergeCell ref="H13:I13"/>
    <mergeCell ref="H14:I27"/>
    <mergeCell ref="E16:F16"/>
    <mergeCell ref="E17:F17"/>
    <mergeCell ref="E18:F18"/>
    <mergeCell ref="A19:B19"/>
    <mergeCell ref="A20:B20"/>
  </mergeCells>
  <drawing r:id="rId1"/>
</worksheet>
</file>